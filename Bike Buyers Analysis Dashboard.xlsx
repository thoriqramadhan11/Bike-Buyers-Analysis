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alex data analyst\excel\"/>
    </mc:Choice>
  </mc:AlternateContent>
  <xr:revisionPtr revIDLastSave="0" documentId="13_ncr:1_{95C9437F-82E7-44C3-A964-9198D0AB1B68}" xr6:coauthVersionLast="47" xr6:coauthVersionMax="47" xr10:uidLastSave="{00000000-0000-0000-0000-000000000000}"/>
  <bookViews>
    <workbookView xWindow="-108" yWindow="-108" windowWidth="23256" windowHeight="12576" activeTab="2" xr2:uid="{00000000-000D-0000-FFFF-FFFF00000000}"/>
  </bookViews>
  <sheets>
    <sheet name="Insights" sheetId="8" r:id="rId1"/>
    <sheet name="Dashboard" sheetId="4" r:id="rId2"/>
    <sheet name="Pivot Tables" sheetId="3" r:id="rId3"/>
    <sheet name="Cleaned Data" sheetId="2" r:id="rId4"/>
    <sheet name="Raw Data" sheetId="1" r:id="rId5"/>
  </sheets>
  <definedNames>
    <definedName name="_xlnm._FilterDatabase" localSheetId="3" hidden="1">'Cleaned Data'!$A$1:$N$1001</definedName>
    <definedName name="_xlnm._FilterDatabase" localSheetId="4" hidden="1">'Raw Data'!$A$1:$M$1001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<sst xmlns="http://schemas.openxmlformats.org/spreadsheetml/2006/main" count="16303" uniqueCount="87">
  <si>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</si>
  <si>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</si>
  <si>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</si>
  <si>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</si>
  <si>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</si>
  <si>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</si>
  <si>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</si>
  <si>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</si>
  <si>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</si>
  <si>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</si>
  <si>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</si>
  <si>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</si>
  <si>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</si>
  <si>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</si>
  <si>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</si>
  <si>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</si>
  <si>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</si>
  <si>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</si>
  <si>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</si>
  <si>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</si>
  <si>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</si>
  <si>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</si>
  <si>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</si>
  <si>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</si>
  <si>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</si>
  <si>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</si>
  <si>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</si>
  <si>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</si>
  <si>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</si>
  <si>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</si>
  <si>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</si>
  <si>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</si>
  <si>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</si>
  <si>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</si>
  <si>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</si>
  <si>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</si>
  <si>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</si>
  <si>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</si>
  <si>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</si>
  <si>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</si>
  <si>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</si>
  <si>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</si>
  <si>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</si>
  <si>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</si>
  <si>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</si>
  <si>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</si>
  <si>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</si>
  <si>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2. middle</t>
  </si>
  <si>
    <t>3. old</t>
  </si>
  <si>
    <t>1. young</t>
  </si>
  <si>
    <t>BIKE SALES DASHBOARD</t>
  </si>
  <si>
    <t>Customer Purchase Behavior Analysis</t>
  </si>
  <si>
    <t>BIKE BUYERS ANALYSIS</t>
  </si>
  <si>
    <t>EXECUTIVE SUMMARY</t>
  </si>
  <si>
    <t>Project Objective</t>
  </si>
  <si>
    <t>Analyze customer behavior and key factors influencing the decision to purchase a bike based on a dataset of 1,000 customers.</t>
  </si>
  <si>
    <t>Key Metrics</t>
  </si>
  <si>
    <t>• Average Income (Non-Buyer)       : $53,440</t>
  </si>
  <si>
    <t>Key Insights</t>
  </si>
  <si>
    <t>1. Income Level</t>
  </si>
  <si>
    <t>2. Age Group</t>
  </si>
  <si>
    <t>3. Commute Distance</t>
  </si>
  <si>
    <t xml:space="preserve">   Customers with shorter commute distances (0-1 miles) have a significantly higher likelihood of purchasing a bike. Purchase rate decreases as commute distance increases.</t>
  </si>
  <si>
    <t>4. Gender &amp; Income</t>
  </si>
  <si>
    <t xml:space="preserve">   Male customers have a higher average income than female customers. Males also show a slightly higher bike purchase rate.</t>
  </si>
  <si>
    <t>5. Marital Status</t>
  </si>
  <si>
    <t>Business Recommendations</t>
  </si>
  <si>
    <t>• Target marketing efforts toward Middle Age customers with above-average income and short commute distances (0-2 miles).</t>
  </si>
  <si>
    <t>• Consider promotional packages or bike bundles for customers living near their workplace.</t>
  </si>
  <si>
    <t>• Further analysis on education level and occupation could help refine customer segmentation.</t>
  </si>
  <si>
    <t>────────────────────────────────────</t>
  </si>
  <si>
    <t>Date: April 2026</t>
  </si>
  <si>
    <t>: 1,000</t>
  </si>
  <si>
    <t>: $57,963</t>
  </si>
  <si>
    <t xml:space="preserve">• Purchase Rate            </t>
  </si>
  <si>
    <t>: $56,360</t>
  </si>
  <si>
    <t>: 48.1%</t>
  </si>
  <si>
    <t>: 481</t>
  </si>
  <si>
    <t>: $54,875</t>
  </si>
  <si>
    <t xml:space="preserve">   Customers who purchased a bike have a noticeably higher average income ($57,963) compared to those who did not ($54,875).</t>
  </si>
  <si>
    <t>Prepared by: Muhammad Thoriq Ramadhan</t>
  </si>
  <si>
    <t xml:space="preserve">   Married customers tend to have higher income levels and show a higher bike purchase rate compared to Single customers.</t>
  </si>
  <si>
    <t xml:space="preserve">• Total Customers </t>
  </si>
  <si>
    <t xml:space="preserve">• Total Bike Purchased         </t>
  </si>
  <si>
    <t xml:space="preserve">• Average Income (Buyer)          </t>
  </si>
  <si>
    <t xml:space="preserve">• Average Income (Overall)         </t>
  </si>
  <si>
    <t xml:space="preserve">   The Middle Age group (31-54 year) shows the highest bike purchase rate compared to Young and Old age brackets.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</si>
</sst>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Calibri"/>
      <family val="2"/>
      <scheme val="minor"/>
    </font>
    <font>
      <sz val="36"/>
      <color theme="0"/>
      <name val="Calibri"/>
      <family val="2"/>
      <scheme val="minor"/>
    </font>
    <font>
      <b/>
      <sz val="12"/>
      <color theme="0"/>
      <name val="Calibri"/>
      <family val="2"/>
      <scheme val="minor"/>
    </font>
    <font>
      <b/>
      <sz val="18"/>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1" fillId="34" borderId="0" xfId="0" applyFont="1" applyFill="1" applyAlignment="1">
      <alignment vertical="center"/>
    </xf>
    <xf numFmtId="0" fontId="0" fillId="34" borderId="0" xfId="0" applyFill="1"/>
    <xf numFmtId="0" fontId="19" fillId="34" borderId="13" xfId="0" applyFont="1" applyFill="1" applyBorder="1"/>
    <xf numFmtId="0" fontId="0" fillId="34" borderId="14" xfId="0" applyFill="1" applyBorder="1"/>
    <xf numFmtId="0" fontId="0" fillId="34" borderId="13" xfId="0" applyFill="1" applyBorder="1"/>
    <xf numFmtId="0" fontId="0" fillId="34" borderId="16" xfId="0" applyFill="1" applyBorder="1"/>
    <xf numFmtId="0" fontId="0" fillId="34" borderId="17" xfId="0" applyFill="1" applyBorder="1"/>
    <xf numFmtId="0" fontId="0" fillId="36" borderId="0" xfId="0" applyFill="1"/>
    <xf numFmtId="0" fontId="0" fillId="34" borderId="11" xfId="0" applyFill="1" applyBorder="1"/>
    <xf numFmtId="0" fontId="0" fillId="34" borderId="12" xfId="0" applyFill="1" applyBorder="1"/>
    <xf numFmtId="0" fontId="0" fillId="34" borderId="15" xfId="0" applyFill="1" applyBorder="1"/>
    <xf numFmtId="0" fontId="19" fillId="34" borderId="10" xfId="0" applyFont="1" applyFill="1" applyBorder="1"/>
    <xf numFmtId="0" fontId="22" fillId="35" borderId="10" xfId="0" applyFont="1" applyFill="1" applyBorder="1" applyAlignment="1">
      <alignment horizontal="center"/>
    </xf>
    <xf numFmtId="0" fontId="22" fillId="35" borderId="11" xfId="0" applyFont="1" applyFill="1" applyBorder="1" applyAlignment="1">
      <alignment horizontal="center"/>
    </xf>
    <xf numFmtId="0" fontId="22" fillId="35" borderId="12" xfId="0" applyFont="1" applyFill="1" applyBorder="1" applyAlignment="1">
      <alignment horizontal="center"/>
    </xf>
    <xf numFmtId="0" fontId="22" fillId="35" borderId="15" xfId="0" applyFont="1" applyFill="1" applyBorder="1" applyAlignment="1">
      <alignment horizontal="center"/>
    </xf>
    <xf numFmtId="0" fontId="22" fillId="35" borderId="16" xfId="0" applyFont="1" applyFill="1" applyBorder="1" applyAlignment="1">
      <alignment horizontal="center"/>
    </xf>
    <xf numFmtId="0" fontId="22" fillId="35" borderId="17" xfId="0" applyFont="1" applyFill="1" applyBorder="1" applyAlignment="1">
      <alignment horizontal="center"/>
    </xf>
    <xf numFmtId="0" fontId="20" fillId="33" borderId="0" xfId="0" applyFont="1" applyFill="1" applyAlignment="1">
      <alignment horizontal="center" vertical="center"/>
    </xf>
    <xf numFmtId="0" fontId="21" fillId="33" borderId="0" xfId="0" applyFont="1" applyFill="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colors>
    <mruColors>
      <color rgb="FF14B8A6"/>
      <color rgb="FF2DD4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Based On</a:t>
            </a:r>
            <a:r>
              <a:rPr lang="en-US" baseline="0"/>
              <a:t>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_(* #,##0_);_(* \(#,##0\);_(* "-"??_);_(@_)</c:formatCode>
                <c:ptCount val="2"/>
                <c:pt idx="0">
                  <c:v>53440</c:v>
                </c:pt>
                <c:pt idx="1">
                  <c:v>56208.178438661707</c:v>
                </c:pt>
              </c:numCache>
            </c:numRef>
          </c:val>
          <c:extLst>
            <c:ext xmlns:c16="http://schemas.microsoft.com/office/drawing/2014/chart" uri="{C3380CC4-5D6E-409C-BE32-E72D297353CC}">
              <c16:uniqueId val="{00000000-0675-4823-882C-76D1A2158FFB}"/>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249-4D17-91E7-B8A739C4E29F}"/>
            </c:ext>
          </c:extLst>
        </c:ser>
        <c:dLbls>
          <c:dLblPos val="outEnd"/>
          <c:showLegendKey val="0"/>
          <c:showVal val="1"/>
          <c:showCatName val="0"/>
          <c:showSerName val="0"/>
          <c:showPercent val="0"/>
          <c:showBubbleSize val="0"/>
        </c:dLbls>
        <c:gapWidth val="219"/>
        <c:overlap val="-27"/>
        <c:axId val="482179872"/>
        <c:axId val="482180200"/>
      </c:barChart>
      <c:catAx>
        <c:axId val="48217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80200"/>
        <c:crosses val="autoZero"/>
        <c:auto val="1"/>
        <c:lblAlgn val="ctr"/>
        <c:lblOffset val="100"/>
        <c:noMultiLvlLbl val="0"/>
      </c:catAx>
      <c:valAx>
        <c:axId val="482180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7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Based On Distance</a:t>
            </a:r>
            <a:r>
              <a:rPr lang="en-US" baseline="0"/>
              <a:t> (Home-Office)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_(* #,##0_);_(* \(#,##0\);_(*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2B7-448F-A42F-21D2A754FA93}"/>
            </c:ext>
          </c:extLst>
        </c:ser>
        <c:ser>
          <c:idx val="1"/>
          <c:order val="1"/>
          <c:tx>
            <c:strRef>
              <c:f>'Pivot Tables'!$C$21:$C$22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_(* #,##0_);_(* \(#,##0\);_(*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2B7-448F-A42F-21D2A754FA93}"/>
            </c:ext>
          </c:extLst>
        </c:ser>
        <c:dLbls>
          <c:dLblPos val="t"/>
          <c:showLegendKey val="0"/>
          <c:showVal val="1"/>
          <c:showCatName val="0"/>
          <c:showSerName val="0"/>
          <c:showPercent val="0"/>
          <c:showBubbleSize val="0"/>
        </c:dLbls>
        <c:marker val="1"/>
        <c:smooth val="0"/>
        <c:axId val="489534320"/>
        <c:axId val="489533336"/>
      </c:lineChart>
      <c:catAx>
        <c:axId val="48953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3336"/>
        <c:crosses val="autoZero"/>
        <c:auto val="1"/>
        <c:lblAlgn val="ctr"/>
        <c:lblOffset val="100"/>
        <c:noMultiLvlLbl val="0"/>
      </c:catAx>
      <c:valAx>
        <c:axId val="48953333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Based On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none"/>
          </c:marker>
          <c:cat>
            <c:strRef>
              <c:f>'Pivot Tables'!$A$39:$A$42</c:f>
              <c:strCache>
                <c:ptCount val="3"/>
                <c:pt idx="0">
                  <c:v>1. young</c:v>
                </c:pt>
                <c:pt idx="1">
                  <c:v>2. middle</c:v>
                </c:pt>
                <c:pt idx="2">
                  <c:v>3. old</c:v>
                </c:pt>
              </c:strCache>
            </c:strRef>
          </c:cat>
          <c:val>
            <c:numRef>
              <c:f>'Pivot Tables'!$B$39:$B$42</c:f>
              <c:numCache>
                <c:formatCode>_(* #,##0_);_(* \(#,##0\);_(* "-"??_);_(@_)</c:formatCode>
                <c:ptCount val="3"/>
                <c:pt idx="0">
                  <c:v>71</c:v>
                </c:pt>
                <c:pt idx="1">
                  <c:v>318</c:v>
                </c:pt>
                <c:pt idx="2">
                  <c:v>130</c:v>
                </c:pt>
              </c:numCache>
            </c:numRef>
          </c:val>
          <c:smooth val="0"/>
          <c:extLst>
            <c:ext xmlns:c16="http://schemas.microsoft.com/office/drawing/2014/chart" uri="{C3380CC4-5D6E-409C-BE32-E72D297353CC}">
              <c16:uniqueId val="{00000000-AC8E-410F-9B78-DB70B6E29F9C}"/>
            </c:ext>
          </c:extLst>
        </c:ser>
        <c:ser>
          <c:idx val="1"/>
          <c:order val="1"/>
          <c:tx>
            <c:strRef>
              <c:f>'Pivot Tables'!$C$37:$C$38</c:f>
              <c:strCache>
                <c:ptCount val="1"/>
                <c:pt idx="0">
                  <c:v>Yes</c:v>
                </c:pt>
              </c:strCache>
            </c:strRef>
          </c:tx>
          <c:spPr>
            <a:ln w="28575" cap="rnd">
              <a:solidFill>
                <a:schemeClr val="accent2"/>
              </a:solidFill>
              <a:round/>
            </a:ln>
            <a:effectLst/>
          </c:spPr>
          <c:marker>
            <c:symbol val="none"/>
          </c:marker>
          <c:cat>
            <c:strRef>
              <c:f>'Pivot Tables'!$A$39:$A$42</c:f>
              <c:strCache>
                <c:ptCount val="3"/>
                <c:pt idx="0">
                  <c:v>1. young</c:v>
                </c:pt>
                <c:pt idx="1">
                  <c:v>2. middle</c:v>
                </c:pt>
                <c:pt idx="2">
                  <c:v>3. old</c:v>
                </c:pt>
              </c:strCache>
            </c:strRef>
          </c:cat>
          <c:val>
            <c:numRef>
              <c:f>'Pivot Tables'!$C$39:$C$42</c:f>
              <c:numCache>
                <c:formatCode>_(* #,##0_);_(* \(#,##0\);_(* "-"??_);_(@_)</c:formatCode>
                <c:ptCount val="3"/>
                <c:pt idx="0">
                  <c:v>39</c:v>
                </c:pt>
                <c:pt idx="1">
                  <c:v>383</c:v>
                </c:pt>
                <c:pt idx="2">
                  <c:v>59</c:v>
                </c:pt>
              </c:numCache>
            </c:numRef>
          </c:val>
          <c:smooth val="0"/>
          <c:extLst>
            <c:ext xmlns:c16="http://schemas.microsoft.com/office/drawing/2014/chart" uri="{C3380CC4-5D6E-409C-BE32-E72D297353CC}">
              <c16:uniqueId val="{00000001-AC8E-410F-9B78-DB70B6E29F9C}"/>
            </c:ext>
          </c:extLst>
        </c:ser>
        <c:dLbls>
          <c:showLegendKey val="0"/>
          <c:showVal val="0"/>
          <c:showCatName val="0"/>
          <c:showSerName val="0"/>
          <c:showPercent val="0"/>
          <c:showBubbleSize val="0"/>
        </c:dLbls>
        <c:smooth val="0"/>
        <c:axId val="489536288"/>
        <c:axId val="489530712"/>
      </c:lineChart>
      <c:catAx>
        <c:axId val="4895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0712"/>
        <c:crosses val="autoZero"/>
        <c:auto val="1"/>
        <c:lblAlgn val="ctr"/>
        <c:lblOffset val="100"/>
        <c:noMultiLvlLbl val="0"/>
      </c:catAx>
      <c:valAx>
        <c:axId val="4895307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6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Avg Income Based On Gender</a:t>
            </a:r>
            <a:endParaRPr lang="en-US" sz="1400">
              <a:effectLst/>
            </a:endParaRPr>
          </a:p>
        </c:rich>
      </c:tx>
      <c:layout>
        <c:manualLayout>
          <c:xMode val="edge"/>
          <c:yMode val="edge"/>
          <c:x val="0.2361178915135608"/>
          <c:y val="0.131181139662178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#,##0_);_(* \(#,##0\);_(* "-"??_);_(@_)</c:formatCode>
                <c:ptCount val="2"/>
                <c:pt idx="0">
                  <c:v>53440</c:v>
                </c:pt>
                <c:pt idx="1">
                  <c:v>56208.178438661707</c:v>
                </c:pt>
              </c:numCache>
            </c:numRef>
          </c:val>
          <c:extLst>
            <c:ext xmlns:c16="http://schemas.microsoft.com/office/drawing/2014/chart" uri="{C3380CC4-5D6E-409C-BE32-E72D297353CC}">
              <c16:uniqueId val="{00000000-9A6A-450F-8A1A-A878EA308892}"/>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D2C-478C-89ED-38FEA1753A46}"/>
            </c:ext>
          </c:extLst>
        </c:ser>
        <c:dLbls>
          <c:showLegendKey val="0"/>
          <c:showVal val="0"/>
          <c:showCatName val="0"/>
          <c:showSerName val="0"/>
          <c:showPercent val="0"/>
          <c:showBubbleSize val="0"/>
        </c:dLbls>
        <c:gapWidth val="219"/>
        <c:overlap val="-27"/>
        <c:axId val="482179872"/>
        <c:axId val="482180200"/>
      </c:barChart>
      <c:catAx>
        <c:axId val="48217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80200"/>
        <c:crosses val="autoZero"/>
        <c:auto val="1"/>
        <c:lblAlgn val="ctr"/>
        <c:lblOffset val="100"/>
        <c:noMultiLvlLbl val="0"/>
      </c:catAx>
      <c:valAx>
        <c:axId val="482180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79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Tables!PivotTable2</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baseline="0">
                <a:effectLst/>
              </a:rPr>
              <a:t>Purchase Based On Distance (Home-Office)</a:t>
            </a:r>
            <a:endParaRPr lang="en-US" sz="14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_(* #,##0_);_(* \(#,##0\);_(*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3-48A8-4C07-B710-34A88B9126AA}"/>
            </c:ext>
          </c:extLst>
        </c:ser>
        <c:ser>
          <c:idx val="1"/>
          <c:order val="1"/>
          <c:tx>
            <c:strRef>
              <c:f>'Pivot Tables'!$C$21:$C$22</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_(* #,##0_);_(* \(#,##0\);_(*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48A8-4C07-B710-34A88B9126AA}"/>
            </c:ext>
          </c:extLst>
        </c:ser>
        <c:dLbls>
          <c:dLblPos val="t"/>
          <c:showLegendKey val="0"/>
          <c:showVal val="1"/>
          <c:showCatName val="0"/>
          <c:showSerName val="0"/>
          <c:showPercent val="0"/>
          <c:showBubbleSize val="0"/>
        </c:dLbls>
        <c:smooth val="0"/>
        <c:axId val="489534320"/>
        <c:axId val="489533336"/>
      </c:lineChart>
      <c:catAx>
        <c:axId val="48953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3336"/>
        <c:crosses val="autoZero"/>
        <c:auto val="1"/>
        <c:lblAlgn val="ctr"/>
        <c:lblOffset val="100"/>
        <c:noMultiLvlLbl val="0"/>
      </c:catAx>
      <c:valAx>
        <c:axId val="48953333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Purchase Based On Age Bracket</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none"/>
          </c:marker>
          <c:cat>
            <c:strRef>
              <c:f>'Pivot Tables'!$A$39:$A$42</c:f>
              <c:strCache>
                <c:ptCount val="3"/>
                <c:pt idx="0">
                  <c:v>1. young</c:v>
                </c:pt>
                <c:pt idx="1">
                  <c:v>2. middle</c:v>
                </c:pt>
                <c:pt idx="2">
                  <c:v>3. old</c:v>
                </c:pt>
              </c:strCache>
            </c:strRef>
          </c:cat>
          <c:val>
            <c:numRef>
              <c:f>'Pivot Tables'!$B$39:$B$42</c:f>
              <c:numCache>
                <c:formatCode>_(* #,##0_);_(* \(#,##0\);_(* "-"??_);_(@_)</c:formatCode>
                <c:ptCount val="3"/>
                <c:pt idx="0">
                  <c:v>71</c:v>
                </c:pt>
                <c:pt idx="1">
                  <c:v>318</c:v>
                </c:pt>
                <c:pt idx="2">
                  <c:v>130</c:v>
                </c:pt>
              </c:numCache>
            </c:numRef>
          </c:val>
          <c:smooth val="0"/>
          <c:extLst>
            <c:ext xmlns:c16="http://schemas.microsoft.com/office/drawing/2014/chart" uri="{C3380CC4-5D6E-409C-BE32-E72D297353CC}">
              <c16:uniqueId val="{00000000-2D65-42BA-875A-B29F6DFC6E48}"/>
            </c:ext>
          </c:extLst>
        </c:ser>
        <c:ser>
          <c:idx val="1"/>
          <c:order val="1"/>
          <c:tx>
            <c:strRef>
              <c:f>'Pivot Tables'!$C$37:$C$38</c:f>
              <c:strCache>
                <c:ptCount val="1"/>
                <c:pt idx="0">
                  <c:v>Yes</c:v>
                </c:pt>
              </c:strCache>
            </c:strRef>
          </c:tx>
          <c:spPr>
            <a:ln w="28575" cap="rnd">
              <a:solidFill>
                <a:schemeClr val="accent2"/>
              </a:solidFill>
              <a:round/>
            </a:ln>
            <a:effectLst/>
          </c:spPr>
          <c:marker>
            <c:symbol val="none"/>
          </c:marker>
          <c:cat>
            <c:strRef>
              <c:f>'Pivot Tables'!$A$39:$A$42</c:f>
              <c:strCache>
                <c:ptCount val="3"/>
                <c:pt idx="0">
                  <c:v>1. young</c:v>
                </c:pt>
                <c:pt idx="1">
                  <c:v>2. middle</c:v>
                </c:pt>
                <c:pt idx="2">
                  <c:v>3. old</c:v>
                </c:pt>
              </c:strCache>
            </c:strRef>
          </c:cat>
          <c:val>
            <c:numRef>
              <c:f>'Pivot Tables'!$C$39:$C$42</c:f>
              <c:numCache>
                <c:formatCode>_(* #,##0_);_(* \(#,##0\);_(* "-"??_);_(@_)</c:formatCode>
                <c:ptCount val="3"/>
                <c:pt idx="0">
                  <c:v>39</c:v>
                </c:pt>
                <c:pt idx="1">
                  <c:v>383</c:v>
                </c:pt>
                <c:pt idx="2">
                  <c:v>59</c:v>
                </c:pt>
              </c:numCache>
            </c:numRef>
          </c:val>
          <c:smooth val="0"/>
          <c:extLst>
            <c:ext xmlns:c16="http://schemas.microsoft.com/office/drawing/2014/chart" uri="{C3380CC4-5D6E-409C-BE32-E72D297353CC}">
              <c16:uniqueId val="{00000001-2D65-42BA-875A-B29F6DFC6E48}"/>
            </c:ext>
          </c:extLst>
        </c:ser>
        <c:dLbls>
          <c:showLegendKey val="0"/>
          <c:showVal val="0"/>
          <c:showCatName val="0"/>
          <c:showSerName val="0"/>
          <c:showPercent val="0"/>
          <c:showBubbleSize val="0"/>
        </c:dLbls>
        <c:smooth val="0"/>
        <c:axId val="489536288"/>
        <c:axId val="489530712"/>
      </c:lineChart>
      <c:catAx>
        <c:axId val="4895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0712"/>
        <c:crosses val="autoZero"/>
        <c:auto val="1"/>
        <c:lblAlgn val="ctr"/>
        <c:lblOffset val="100"/>
        <c:noMultiLvlLbl val="0"/>
      </c:catAx>
      <c:valAx>
        <c:axId val="4895307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15681</xdr:colOff>
      <xdr:row>5</xdr:row>
      <xdr:rowOff>53340</xdr:rowOff>
    </xdr:from>
    <xdr:to>
      <xdr:col>8</xdr:col>
      <xdr:colOff>320481</xdr:colOff>
      <xdr:row>18</xdr:row>
      <xdr:rowOff>53340</xdr:rowOff>
    </xdr:to>
    <xdr:graphicFrame macro="">
      <xdr:nvGraphicFramePr>
        <xdr:cNvPr id="2" name="Chart 1">
          <a:extLst>
            <a:ext uri="{FF2B5EF4-FFF2-40B4-BE49-F238E27FC236}">
              <a16:creationId xmlns:a16="http://schemas.microsoft.com/office/drawing/2014/main" id="{BC328721-3D8F-473F-8E37-0D7336047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15681</xdr:colOff>
      <xdr:row>18</xdr:row>
      <xdr:rowOff>99060</xdr:rowOff>
    </xdr:from>
    <xdr:to>
      <xdr:col>16</xdr:col>
      <xdr:colOff>394440</xdr:colOff>
      <xdr:row>30</xdr:row>
      <xdr:rowOff>175260</xdr:rowOff>
    </xdr:to>
    <xdr:graphicFrame macro="">
      <xdr:nvGraphicFramePr>
        <xdr:cNvPr id="3" name="Chart 2">
          <a:extLst>
            <a:ext uri="{FF2B5EF4-FFF2-40B4-BE49-F238E27FC236}">
              <a16:creationId xmlns:a16="http://schemas.microsoft.com/office/drawing/2014/main" id="{2590C948-AA62-4B8C-9432-C318A7651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389061</xdr:colOff>
      <xdr:row>5</xdr:row>
      <xdr:rowOff>53340</xdr:rowOff>
    </xdr:from>
    <xdr:to>
      <xdr:col>16</xdr:col>
      <xdr:colOff>381441</xdr:colOff>
      <xdr:row>18</xdr:row>
      <xdr:rowOff>68580</xdr:rowOff>
    </xdr:to>
    <xdr:graphicFrame macro="">
      <xdr:nvGraphicFramePr>
        <xdr:cNvPr id="4" name="Chart 3">
          <a:extLst>
            <a:ext uri="{FF2B5EF4-FFF2-40B4-BE49-F238E27FC236}">
              <a16:creationId xmlns:a16="http://schemas.microsoft.com/office/drawing/2014/main" id="{42679AEA-C0BF-4534-BAC6-AA2101200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26894</xdr:rowOff>
    </xdr:from>
    <xdr:to>
      <xdr:col>1</xdr:col>
      <xdr:colOff>845820</xdr:colOff>
      <xdr:row>11</xdr:row>
      <xdr:rowOff>125505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C6E4675-ADBD-423E-ADE2-BEE5EB7EE01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77153"/>
              <a:ext cx="1455420" cy="1174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8964</xdr:rowOff>
    </xdr:from>
    <xdr:to>
      <xdr:col>1</xdr:col>
      <xdr:colOff>861060</xdr:colOff>
      <xdr:row>22</xdr:row>
      <xdr:rowOff>62752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E47DBC9-E49B-4EAE-BA8A-D1EF29496B8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813560"/>
              <a:ext cx="1470660" cy="169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116541</xdr:rowOff>
    </xdr:from>
    <xdr:to>
      <xdr:col>1</xdr:col>
      <xdr:colOff>838200</xdr:colOff>
      <xdr:row>30</xdr:row>
      <xdr:rowOff>143435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87B8683-23A9-4134-BA70-8926211EF7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114800"/>
              <a:ext cx="1447800" cy="1461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273873</xdr:colOff>
      <xdr:row>1</xdr:row>
      <xdr:rowOff>159573</xdr:rowOff>
    </xdr:from>
    <xdr:to>
      <xdr:col>11</xdr:col>
      <xdr:colOff>578673</xdr:colOff>
      <xdr:row>16</xdr:row>
      <xdr:rowOff>159572</xdr:rowOff>
    </xdr:to>
    <xdr:graphicFrame macro="">
      <xdr:nvGraphicFramePr>
        <xdr:cNvPr id="2" name="Chart 1">
          <a:extLst>
            <a:ext uri="{FF2B5EF4-FFF2-40B4-BE49-F238E27FC236}">
              <a16:creationId xmlns:a16="http://schemas.microsoft.com/office/drawing/2014/main" id="{FD542D9D-C50F-46B5-8F7F-9947D7DB2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19</xdr:row>
      <xdr:rowOff>160020</xdr:rowOff>
    </xdr:from>
    <xdr:to>
      <xdr:col>11</xdr:col>
      <xdr:colOff>439270</xdr:colOff>
      <xdr:row>33</xdr:row>
      <xdr:rowOff>62752</xdr:rowOff>
    </xdr:to>
    <xdr:graphicFrame macro="">
      <xdr:nvGraphicFramePr>
        <xdr:cNvPr id="3" name="Chart 2">
          <a:extLst>
            <a:ext uri="{FF2B5EF4-FFF2-40B4-BE49-F238E27FC236}">
              <a16:creationId xmlns:a16="http://schemas.microsoft.com/office/drawing/2014/main" id="{331DCB27-1F73-4A07-8402-013CA48B8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478715</xdr:colOff>
      <xdr:row>35</xdr:row>
      <xdr:rowOff>176156</xdr:rowOff>
    </xdr:from>
    <xdr:to>
      <xdr:col>12</xdr:col>
      <xdr:colOff>173915</xdr:colOff>
      <xdr:row>50</xdr:row>
      <xdr:rowOff>176156</xdr:rowOff>
    </xdr:to>
    <xdr:graphicFrame macro="">
      <xdr:nvGraphicFramePr>
        <xdr:cNvPr id="4" name="Chart 3">
          <a:extLst>
            <a:ext uri="{FF2B5EF4-FFF2-40B4-BE49-F238E27FC236}">
              <a16:creationId xmlns:a16="http://schemas.microsoft.com/office/drawing/2014/main" id="{F44A9080-FD58-465C-B7D4-B302D56DE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riq" refreshedDate="46015.61363634259" createdVersion="7" refreshedVersion="7" minRefreshableVersion="3" recordCount="1000" xr:uid="{495E8637-0B00-497B-8249-8477BAE84238}">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9">
        <s v="2. middle"/>
        <s v="3. old"/>
        <s v="1. young"/>
        <s v="middle" u="1"/>
        <s v="adolescence" u="1"/>
        <s v="young" u="1"/>
        <s v="middle age" u="1"/>
        <s v="old" u="1"/>
        <s v="1. amuda" u="1"/>
      </sharedItems>
    </cacheField>
    <cacheField name="Purchased Bike" numFmtId="0">
      <sharedItems count="2">
        <s v="No"/>
        <s v="Yes"/>
      </sharedItems>
    </cacheField>
  </cacheFields>
  <extLst>
    <ext xmlns:x14="http://schemas.microsoft.com/office/spreadsheetml/2009/9/main" uri="{725AE2AE-9491-48be-B2B4-4EB974FC3084}">
      <x14:pivotCacheDefinition pivotCacheId="1925723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359BFA-EC05-40E3-9DDA-CE0F6D40881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10">
        <item m="1" x="8"/>
        <item x="2"/>
        <item x="0"/>
        <item x="1"/>
        <item m="1" x="4"/>
        <item m="1" x="3"/>
        <item m="1" x="6"/>
        <item m="1" x="7"/>
        <item m="1" x="5"/>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formats count="1">
    <format dxfId="2">
      <pivotArea outline="0" collapsedLevelsAreSubtotals="1" fieldPosition="0"/>
    </format>
  </format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7A9369-68FE-45E1-AF86-A5EC3AE3E06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3">
      <pivotArea outline="0" collapsedLevelsAreSubtotals="1" fieldPosition="0"/>
    </format>
  </formats>
  <chartFormats count="5">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0"/>
          </reference>
        </references>
      </pivotArea>
    </chartFormat>
    <chartFormat chart="7"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E8A25-AD79-401A-9682-F7DA5895691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4">
      <pivotArea outline="0" collapsedLevelsAreSubtotals="1" fieldPosition="0"/>
    </format>
  </formats>
  <chartFormats count="8">
    <chartFormat chart="0" format="2"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6" format="12" series="1">
      <pivotArea type="data" outline="0" fieldPosition="0">
        <references count="2">
          <reference field="4294967294" count="1" selected="0">
            <x v="0"/>
          </reference>
          <reference field="13" count="1" selected="0">
            <x v="1"/>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6" format="13" series="1">
      <pivotArea type="data" outline="0" fieldPosition="0">
        <references count="2">
          <reference field="4294967294" count="1" selected="0">
            <x v="0"/>
          </reference>
          <reference field="13" count="1" selected="0">
            <x v="0"/>
          </reference>
        </references>
      </pivotArea>
    </chartFormat>
    <chartFormat chart="0" format="8"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92479F7-8671-4096-A0A5-6E40FBE9B93E}" sourceName="Marital Status">
  <pivotTables>
    <pivotTable tabId="3" name="PivotTable1"/>
    <pivotTable tabId="3" name="PivotTable2"/>
    <pivotTable tabId="3" name="PivotTable3"/>
  </pivotTables>
  <data>
    <tabular pivotCacheId="19257233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1E0792-93B9-43F7-B6A5-19C42C5BB02B}" sourceName="Region">
  <pivotTables>
    <pivotTable tabId="3" name="PivotTable1"/>
    <pivotTable tabId="3" name="PivotTable2"/>
    <pivotTable tabId="3" name="PivotTable3"/>
  </pivotTables>
  <data>
    <tabular pivotCacheId="192572333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B708D24-7C9C-479C-94B9-518469E22AE1}" sourceName="Education">
  <pivotTables>
    <pivotTable tabId="3" name="PivotTable1"/>
    <pivotTable tabId="3" name="PivotTable2"/>
    <pivotTable tabId="3" name="PivotTable3"/>
  </pivotTables>
  <data>
    <tabular pivotCacheId="192572333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0E67772-91CC-4BFA-AFB2-82649D773B35}" cache="Slicer_Marital_Status" caption="Marital Status" rowHeight="234950"/>
  <slicer name="Region" xr10:uid="{F619155F-D5F5-4E40-9522-D6D6A95A8947}" cache="Slicer_Region" caption="Region" rowHeight="234950"/>
  <slicer name="Education" xr10:uid="{8EC32C7C-D5F6-4E4F-8F28-FBD369A4A6BE}"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3859A-6411-4CFC-8E7A-AFE12BC38EA0}">
  <dimension ref="B3:Q42"/>
  <sheetViews>
    <sheetView workbookViewId="0">
      <selection activeCell="S34" sqref="S34"/>
    </sheetView>
  </sheetViews>
  <sheetFormatPr defaultRowHeight="14.4" x14ac:dyDescent="0.3"/>
  <cols>
    <col min="1" max="16384" width="8.88671875" style="14"/>
  </cols>
  <sheetData>
    <row r="3" spans="2:17" ht="15" thickBot="1" x14ac:dyDescent="0.35"/>
    <row r="4" spans="2:17" ht="23.4" x14ac:dyDescent="0.45">
      <c r="B4" s="19" t="s">
        <v>52</v>
      </c>
      <c r="C4" s="20"/>
      <c r="D4" s="20"/>
      <c r="E4" s="20"/>
      <c r="F4" s="20"/>
      <c r="G4" s="20"/>
      <c r="H4" s="20"/>
      <c r="I4" s="20"/>
      <c r="J4" s="20"/>
      <c r="K4" s="20"/>
      <c r="L4" s="20"/>
      <c r="M4" s="20"/>
      <c r="N4" s="20"/>
      <c r="O4" s="20"/>
      <c r="P4" s="20"/>
      <c r="Q4" s="21"/>
    </row>
    <row r="5" spans="2:17" ht="24" thickBot="1" x14ac:dyDescent="0.5">
      <c r="B5" s="22" t="s">
        <v>53</v>
      </c>
      <c r="C5" s="23"/>
      <c r="D5" s="23"/>
      <c r="E5" s="23"/>
      <c r="F5" s="23"/>
      <c r="G5" s="23"/>
      <c r="H5" s="23"/>
      <c r="I5" s="23"/>
      <c r="J5" s="23"/>
      <c r="K5" s="23"/>
      <c r="L5" s="23"/>
      <c r="M5" s="23"/>
      <c r="N5" s="23"/>
      <c r="O5" s="23"/>
      <c r="P5" s="23"/>
      <c r="Q5" s="24"/>
    </row>
    <row r="6" spans="2:17" ht="15.6" x14ac:dyDescent="0.3">
      <c r="B6" s="18" t="s">
        <v>54</v>
      </c>
      <c r="C6" s="15"/>
      <c r="D6" s="15"/>
      <c r="E6" s="15"/>
      <c r="F6" s="15"/>
      <c r="G6" s="15"/>
      <c r="H6" s="15"/>
      <c r="I6" s="15"/>
      <c r="J6" s="15"/>
      <c r="K6" s="15"/>
      <c r="L6" s="15"/>
      <c r="M6" s="15"/>
      <c r="N6" s="15"/>
      <c r="O6" s="15"/>
      <c r="P6" s="15"/>
      <c r="Q6" s="16"/>
    </row>
    <row r="7" spans="2:17" x14ac:dyDescent="0.3">
      <c r="B7" s="11" t="s">
        <v>55</v>
      </c>
      <c r="C7" s="8"/>
      <c r="D7" s="8"/>
      <c r="E7" s="8"/>
      <c r="F7" s="8"/>
      <c r="G7" s="8"/>
      <c r="H7" s="8"/>
      <c r="I7" s="8"/>
      <c r="J7" s="8"/>
      <c r="K7" s="8"/>
      <c r="L7" s="8"/>
      <c r="M7" s="8"/>
      <c r="N7" s="8"/>
      <c r="O7" s="8"/>
      <c r="P7" s="8"/>
      <c r="Q7" s="10"/>
    </row>
    <row r="8" spans="2:17" x14ac:dyDescent="0.3">
      <c r="B8" s="11"/>
      <c r="C8" s="8"/>
      <c r="D8" s="8"/>
      <c r="E8" s="8"/>
      <c r="F8" s="8"/>
      <c r="G8" s="8"/>
      <c r="H8" s="8"/>
      <c r="I8" s="8"/>
      <c r="J8" s="8"/>
      <c r="K8" s="8"/>
      <c r="L8" s="8"/>
      <c r="M8" s="8"/>
      <c r="N8" s="8"/>
      <c r="O8" s="8"/>
      <c r="P8" s="8"/>
      <c r="Q8" s="10"/>
    </row>
    <row r="9" spans="2:17" ht="15.6" x14ac:dyDescent="0.3">
      <c r="B9" s="9" t="s">
        <v>56</v>
      </c>
      <c r="C9" s="8"/>
      <c r="D9" s="8"/>
      <c r="E9" s="8"/>
      <c r="F9" s="8"/>
      <c r="G9" s="8"/>
      <c r="H9" s="8"/>
      <c r="I9" s="8"/>
      <c r="J9" s="8"/>
      <c r="K9" s="8"/>
      <c r="L9" s="8"/>
      <c r="M9" s="8"/>
      <c r="N9" s="8"/>
      <c r="O9" s="8"/>
      <c r="P9" s="8"/>
      <c r="Q9" s="10"/>
    </row>
    <row r="10" spans="2:17" x14ac:dyDescent="0.3">
      <c r="B10" s="11" t="s">
        <v>82</v>
      </c>
      <c r="C10" s="8"/>
      <c r="D10" s="8"/>
      <c r="E10" s="8" t="s">
        <v>72</v>
      </c>
      <c r="F10" s="8"/>
      <c r="G10" s="8"/>
      <c r="H10" s="8"/>
      <c r="I10" s="8"/>
      <c r="J10" s="8"/>
      <c r="K10" s="8"/>
      <c r="L10" s="8"/>
      <c r="M10" s="8"/>
      <c r="N10" s="8"/>
      <c r="O10" s="8"/>
      <c r="P10" s="8"/>
      <c r="Q10" s="10"/>
    </row>
    <row r="11" spans="2:17" x14ac:dyDescent="0.3">
      <c r="B11" s="11" t="s">
        <v>83</v>
      </c>
      <c r="C11" s="8"/>
      <c r="D11" s="8"/>
      <c r="E11" s="8" t="s">
        <v>77</v>
      </c>
      <c r="F11" s="8"/>
      <c r="G11" s="8"/>
      <c r="H11" s="8"/>
      <c r="I11" s="8"/>
      <c r="J11" s="8"/>
      <c r="K11" s="8"/>
      <c r="L11" s="8"/>
      <c r="M11" s="8"/>
      <c r="N11" s="8"/>
      <c r="O11" s="8"/>
      <c r="P11" s="8"/>
      <c r="Q11" s="10"/>
    </row>
    <row r="12" spans="2:17" x14ac:dyDescent="0.3">
      <c r="B12" s="11" t="s">
        <v>74</v>
      </c>
      <c r="C12" s="8"/>
      <c r="D12" s="8"/>
      <c r="E12" s="8" t="s">
        <v>76</v>
      </c>
      <c r="F12" s="8"/>
      <c r="G12" s="8"/>
      <c r="H12" s="8"/>
      <c r="I12" s="8"/>
      <c r="J12" s="8"/>
      <c r="K12" s="8"/>
      <c r="L12" s="8"/>
      <c r="M12" s="8"/>
      <c r="N12" s="8"/>
      <c r="O12" s="8"/>
      <c r="P12" s="8"/>
      <c r="Q12" s="10"/>
    </row>
    <row r="13" spans="2:17" x14ac:dyDescent="0.3">
      <c r="B13" s="11" t="s">
        <v>85</v>
      </c>
      <c r="C13" s="8"/>
      <c r="D13" s="8"/>
      <c r="E13" s="8" t="s">
        <v>75</v>
      </c>
      <c r="F13" s="8"/>
      <c r="G13" s="8"/>
      <c r="H13" s="8"/>
      <c r="I13" s="8"/>
      <c r="J13" s="8"/>
      <c r="K13" s="8"/>
      <c r="L13" s="8"/>
      <c r="M13" s="8"/>
      <c r="N13" s="8"/>
      <c r="O13" s="8"/>
      <c r="P13" s="8"/>
      <c r="Q13" s="10"/>
    </row>
    <row r="14" spans="2:17" x14ac:dyDescent="0.3">
      <c r="B14" s="11" t="s">
        <v>84</v>
      </c>
      <c r="C14" s="8"/>
      <c r="D14" s="8"/>
      <c r="E14" s="8" t="s">
        <v>73</v>
      </c>
      <c r="F14" s="8"/>
      <c r="G14" s="8"/>
      <c r="H14" s="8"/>
      <c r="I14" s="8"/>
      <c r="J14" s="8"/>
      <c r="K14" s="8"/>
      <c r="L14" s="8"/>
      <c r="M14" s="8"/>
      <c r="N14" s="8"/>
      <c r="O14" s="8"/>
      <c r="P14" s="8"/>
      <c r="Q14" s="10"/>
    </row>
    <row r="15" spans="2:17" x14ac:dyDescent="0.3">
      <c r="B15" s="11" t="s">
        <v>57</v>
      </c>
      <c r="C15" s="8"/>
      <c r="D15" s="8"/>
      <c r="E15" s="8" t="s">
        <v>78</v>
      </c>
      <c r="F15" s="8"/>
      <c r="G15" s="8"/>
      <c r="H15" s="8"/>
      <c r="I15" s="8"/>
      <c r="J15" s="8"/>
      <c r="K15" s="8"/>
      <c r="L15" s="8"/>
      <c r="M15" s="8"/>
      <c r="N15" s="8"/>
      <c r="O15" s="8"/>
      <c r="P15" s="8"/>
      <c r="Q15" s="10"/>
    </row>
    <row r="16" spans="2:17" x14ac:dyDescent="0.3">
      <c r="B16" s="11"/>
      <c r="C16" s="8"/>
      <c r="D16" s="8"/>
      <c r="E16" s="8"/>
      <c r="F16" s="8"/>
      <c r="G16" s="8"/>
      <c r="H16" s="8"/>
      <c r="I16" s="8"/>
      <c r="J16" s="8"/>
      <c r="K16" s="8"/>
      <c r="L16" s="8"/>
      <c r="M16" s="8"/>
      <c r="N16" s="8"/>
      <c r="O16" s="8"/>
      <c r="P16" s="8"/>
      <c r="Q16" s="10"/>
    </row>
    <row r="17" spans="2:17" ht="15.6" x14ac:dyDescent="0.3">
      <c r="B17" s="9" t="s">
        <v>58</v>
      </c>
      <c r="C17" s="8"/>
      <c r="D17" s="8"/>
      <c r="E17" s="8"/>
      <c r="F17" s="8"/>
      <c r="G17" s="8"/>
      <c r="H17" s="8"/>
      <c r="I17" s="8"/>
      <c r="J17" s="8"/>
      <c r="K17" s="8"/>
      <c r="L17" s="8"/>
      <c r="M17" s="8"/>
      <c r="N17" s="8"/>
      <c r="O17" s="8"/>
      <c r="P17" s="8"/>
      <c r="Q17" s="10"/>
    </row>
    <row r="18" spans="2:17" x14ac:dyDescent="0.3">
      <c r="B18" s="11"/>
      <c r="C18" s="8"/>
      <c r="D18" s="8"/>
      <c r="E18" s="8"/>
      <c r="F18" s="8"/>
      <c r="G18" s="8"/>
      <c r="H18" s="8"/>
      <c r="I18" s="8"/>
      <c r="J18" s="8"/>
      <c r="K18" s="8"/>
      <c r="L18" s="8"/>
      <c r="M18" s="8"/>
      <c r="N18" s="8"/>
      <c r="O18" s="8"/>
      <c r="P18" s="8"/>
      <c r="Q18" s="10"/>
    </row>
    <row r="19" spans="2:17" x14ac:dyDescent="0.3">
      <c r="B19" s="11" t="s">
        <v>59</v>
      </c>
      <c r="C19" s="8"/>
      <c r="D19" s="8"/>
      <c r="E19" s="8"/>
      <c r="F19" s="8"/>
      <c r="G19" s="8"/>
      <c r="H19" s="8"/>
      <c r="I19" s="8"/>
      <c r="J19" s="8"/>
      <c r="K19" s="8"/>
      <c r="L19" s="8"/>
      <c r="M19" s="8"/>
      <c r="N19" s="8"/>
      <c r="O19" s="8"/>
      <c r="P19" s="8"/>
      <c r="Q19" s="10"/>
    </row>
    <row r="20" spans="2:17" x14ac:dyDescent="0.3">
      <c r="B20" s="11" t="s">
        <v>79</v>
      </c>
      <c r="C20" s="8"/>
      <c r="D20" s="8"/>
      <c r="E20" s="8"/>
      <c r="F20" s="8"/>
      <c r="G20" s="8"/>
      <c r="H20" s="8"/>
      <c r="I20" s="8"/>
      <c r="J20" s="8"/>
      <c r="K20" s="8"/>
      <c r="L20" s="8"/>
      <c r="M20" s="8"/>
      <c r="N20" s="8"/>
      <c r="O20" s="8"/>
      <c r="P20" s="8"/>
      <c r="Q20" s="10"/>
    </row>
    <row r="21" spans="2:17" x14ac:dyDescent="0.3">
      <c r="B21" s="11"/>
      <c r="C21" s="8"/>
      <c r="D21" s="8"/>
      <c r="E21" s="8"/>
      <c r="F21" s="8"/>
      <c r="G21" s="8"/>
      <c r="H21" s="8"/>
      <c r="I21" s="8"/>
      <c r="J21" s="8"/>
      <c r="K21" s="8"/>
      <c r="L21" s="8"/>
      <c r="M21" s="8"/>
      <c r="N21" s="8"/>
      <c r="O21" s="8"/>
      <c r="P21" s="8"/>
      <c r="Q21" s="10"/>
    </row>
    <row r="22" spans="2:17" x14ac:dyDescent="0.3">
      <c r="B22" s="11" t="s">
        <v>60</v>
      </c>
      <c r="C22" s="8"/>
      <c r="D22" s="8"/>
      <c r="E22" s="8"/>
      <c r="F22" s="8"/>
      <c r="G22" s="8"/>
      <c r="H22" s="8"/>
      <c r="I22" s="8"/>
      <c r="J22" s="8"/>
      <c r="K22" s="8"/>
      <c r="L22" s="8"/>
      <c r="M22" s="8"/>
      <c r="N22" s="8"/>
      <c r="O22" s="8"/>
      <c r="P22" s="8"/>
      <c r="Q22" s="10"/>
    </row>
    <row r="23" spans="2:17" x14ac:dyDescent="0.3">
      <c r="B23" s="11" t="s">
        <v>86</v>
      </c>
      <c r="C23" s="8"/>
      <c r="D23" s="8"/>
      <c r="E23" s="8"/>
      <c r="F23" s="8"/>
      <c r="G23" s="8"/>
      <c r="H23" s="8"/>
      <c r="I23" s="8"/>
      <c r="J23" s="8"/>
      <c r="K23" s="8"/>
      <c r="L23" s="8"/>
      <c r="M23" s="8"/>
      <c r="N23" s="8"/>
      <c r="O23" s="8"/>
      <c r="P23" s="8"/>
      <c r="Q23" s="10"/>
    </row>
    <row r="24" spans="2:17" x14ac:dyDescent="0.3">
      <c r="B24" s="11"/>
      <c r="C24" s="8"/>
      <c r="D24" s="8"/>
      <c r="E24" s="8"/>
      <c r="F24" s="8"/>
      <c r="G24" s="8"/>
      <c r="H24" s="8"/>
      <c r="I24" s="8"/>
      <c r="J24" s="8"/>
      <c r="K24" s="8"/>
      <c r="L24" s="8"/>
      <c r="M24" s="8"/>
      <c r="N24" s="8"/>
      <c r="O24" s="8"/>
      <c r="P24" s="8"/>
      <c r="Q24" s="10"/>
    </row>
    <row r="25" spans="2:17" x14ac:dyDescent="0.3">
      <c r="B25" s="11" t="s">
        <v>61</v>
      </c>
      <c r="C25" s="8"/>
      <c r="D25" s="8"/>
      <c r="E25" s="8"/>
      <c r="F25" s="8"/>
      <c r="G25" s="8"/>
      <c r="H25" s="8"/>
      <c r="I25" s="8"/>
      <c r="J25" s="8"/>
      <c r="K25" s="8"/>
      <c r="L25" s="8"/>
      <c r="M25" s="8"/>
      <c r="N25" s="8"/>
      <c r="O25" s="8"/>
      <c r="P25" s="8"/>
      <c r="Q25" s="10"/>
    </row>
    <row r="26" spans="2:17" x14ac:dyDescent="0.3">
      <c r="B26" s="11" t="s">
        <v>62</v>
      </c>
      <c r="C26" s="8"/>
      <c r="D26" s="8"/>
      <c r="E26" s="8"/>
      <c r="F26" s="8"/>
      <c r="G26" s="8"/>
      <c r="H26" s="8"/>
      <c r="I26" s="8"/>
      <c r="J26" s="8"/>
      <c r="K26" s="8"/>
      <c r="L26" s="8"/>
      <c r="M26" s="8"/>
      <c r="N26" s="8"/>
      <c r="O26" s="8"/>
      <c r="P26" s="8"/>
      <c r="Q26" s="10"/>
    </row>
    <row r="27" spans="2:17" x14ac:dyDescent="0.3">
      <c r="B27" s="11"/>
      <c r="C27" s="8"/>
      <c r="D27" s="8"/>
      <c r="E27" s="8"/>
      <c r="F27" s="8"/>
      <c r="G27" s="8"/>
      <c r="H27" s="8"/>
      <c r="I27" s="8"/>
      <c r="J27" s="8"/>
      <c r="K27" s="8"/>
      <c r="L27" s="8"/>
      <c r="M27" s="8"/>
      <c r="N27" s="8"/>
      <c r="O27" s="8"/>
      <c r="P27" s="8"/>
      <c r="Q27" s="10"/>
    </row>
    <row r="28" spans="2:17" x14ac:dyDescent="0.3">
      <c r="B28" s="11" t="s">
        <v>63</v>
      </c>
      <c r="C28" s="8"/>
      <c r="D28" s="8"/>
      <c r="E28" s="8"/>
      <c r="F28" s="8"/>
      <c r="G28" s="8"/>
      <c r="H28" s="8"/>
      <c r="I28" s="8"/>
      <c r="J28" s="8"/>
      <c r="K28" s="8"/>
      <c r="L28" s="8"/>
      <c r="M28" s="8"/>
      <c r="N28" s="8"/>
      <c r="O28" s="8"/>
      <c r="P28" s="8"/>
      <c r="Q28" s="10"/>
    </row>
    <row r="29" spans="2:17" x14ac:dyDescent="0.3">
      <c r="B29" s="11" t="s">
        <v>64</v>
      </c>
      <c r="C29" s="8"/>
      <c r="D29" s="8"/>
      <c r="E29" s="8"/>
      <c r="F29" s="8"/>
      <c r="G29" s="8"/>
      <c r="H29" s="8"/>
      <c r="I29" s="8"/>
      <c r="J29" s="8"/>
      <c r="K29" s="8"/>
      <c r="L29" s="8"/>
      <c r="M29" s="8"/>
      <c r="N29" s="8"/>
      <c r="O29" s="8"/>
      <c r="P29" s="8"/>
      <c r="Q29" s="10"/>
    </row>
    <row r="30" spans="2:17" x14ac:dyDescent="0.3">
      <c r="B30" s="11"/>
      <c r="C30" s="8"/>
      <c r="D30" s="8"/>
      <c r="E30" s="8"/>
      <c r="F30" s="8"/>
      <c r="G30" s="8"/>
      <c r="H30" s="8"/>
      <c r="I30" s="8"/>
      <c r="J30" s="8"/>
      <c r="K30" s="8"/>
      <c r="L30" s="8"/>
      <c r="M30" s="8"/>
      <c r="N30" s="8"/>
      <c r="O30" s="8"/>
      <c r="P30" s="8"/>
      <c r="Q30" s="10"/>
    </row>
    <row r="31" spans="2:17" x14ac:dyDescent="0.3">
      <c r="B31" s="11" t="s">
        <v>65</v>
      </c>
      <c r="C31" s="8"/>
      <c r="D31" s="8"/>
      <c r="E31" s="8"/>
      <c r="F31" s="8"/>
      <c r="G31" s="8"/>
      <c r="H31" s="8"/>
      <c r="I31" s="8"/>
      <c r="J31" s="8"/>
      <c r="K31" s="8"/>
      <c r="L31" s="8"/>
      <c r="M31" s="8"/>
      <c r="N31" s="8"/>
      <c r="O31" s="8"/>
      <c r="P31" s="8"/>
      <c r="Q31" s="10"/>
    </row>
    <row r="32" spans="2:17" x14ac:dyDescent="0.3">
      <c r="B32" s="11" t="s">
        <v>81</v>
      </c>
      <c r="C32" s="8"/>
      <c r="D32" s="8"/>
      <c r="E32" s="8"/>
      <c r="F32" s="8"/>
      <c r="G32" s="8"/>
      <c r="H32" s="8"/>
      <c r="I32" s="8"/>
      <c r="J32" s="8"/>
      <c r="K32" s="8"/>
      <c r="L32" s="8"/>
      <c r="M32" s="8"/>
      <c r="N32" s="8"/>
      <c r="O32" s="8"/>
      <c r="P32" s="8"/>
      <c r="Q32" s="10"/>
    </row>
    <row r="33" spans="2:17" x14ac:dyDescent="0.3">
      <c r="B33" s="11"/>
      <c r="C33" s="8"/>
      <c r="D33" s="8"/>
      <c r="E33" s="8"/>
      <c r="F33" s="8"/>
      <c r="G33" s="8"/>
      <c r="H33" s="8"/>
      <c r="I33" s="8"/>
      <c r="J33" s="8"/>
      <c r="K33" s="8"/>
      <c r="L33" s="8"/>
      <c r="M33" s="8"/>
      <c r="N33" s="8"/>
      <c r="O33" s="8"/>
      <c r="P33" s="8"/>
      <c r="Q33" s="10"/>
    </row>
    <row r="34" spans="2:17" ht="15.6" x14ac:dyDescent="0.3">
      <c r="B34" s="9" t="s">
        <v>66</v>
      </c>
      <c r="C34" s="8"/>
      <c r="D34" s="8"/>
      <c r="E34" s="8"/>
      <c r="F34" s="8"/>
      <c r="G34" s="8"/>
      <c r="H34" s="8"/>
      <c r="I34" s="8"/>
      <c r="J34" s="8"/>
      <c r="K34" s="8"/>
      <c r="L34" s="8"/>
      <c r="M34" s="8"/>
      <c r="N34" s="8"/>
      <c r="O34" s="8"/>
      <c r="P34" s="8"/>
      <c r="Q34" s="10"/>
    </row>
    <row r="35" spans="2:17" x14ac:dyDescent="0.3">
      <c r="B35" s="11"/>
      <c r="C35" s="8"/>
      <c r="D35" s="8"/>
      <c r="E35" s="8"/>
      <c r="F35" s="8"/>
      <c r="G35" s="8"/>
      <c r="H35" s="8"/>
      <c r="I35" s="8"/>
      <c r="J35" s="8"/>
      <c r="K35" s="8"/>
      <c r="L35" s="8"/>
      <c r="M35" s="8"/>
      <c r="N35" s="8"/>
      <c r="O35" s="8"/>
      <c r="P35" s="8"/>
      <c r="Q35" s="10"/>
    </row>
    <row r="36" spans="2:17" x14ac:dyDescent="0.3">
      <c r="B36" s="11" t="s">
        <v>67</v>
      </c>
      <c r="C36" s="8"/>
      <c r="D36" s="8"/>
      <c r="E36" s="8"/>
      <c r="F36" s="8"/>
      <c r="G36" s="8"/>
      <c r="H36" s="8"/>
      <c r="I36" s="8"/>
      <c r="J36" s="8"/>
      <c r="K36" s="8"/>
      <c r="L36" s="8"/>
      <c r="M36" s="8"/>
      <c r="N36" s="8"/>
      <c r="O36" s="8"/>
      <c r="P36" s="8"/>
      <c r="Q36" s="10"/>
    </row>
    <row r="37" spans="2:17" x14ac:dyDescent="0.3">
      <c r="B37" s="11" t="s">
        <v>68</v>
      </c>
      <c r="C37" s="8"/>
      <c r="D37" s="8"/>
      <c r="E37" s="8"/>
      <c r="F37" s="8"/>
      <c r="G37" s="8"/>
      <c r="H37" s="8"/>
      <c r="I37" s="8"/>
      <c r="J37" s="8"/>
      <c r="K37" s="8"/>
      <c r="L37" s="8"/>
      <c r="M37" s="8"/>
      <c r="N37" s="8"/>
      <c r="O37" s="8"/>
      <c r="P37" s="8"/>
      <c r="Q37" s="10"/>
    </row>
    <row r="38" spans="2:17" x14ac:dyDescent="0.3">
      <c r="B38" s="11" t="s">
        <v>69</v>
      </c>
      <c r="C38" s="8"/>
      <c r="D38" s="8"/>
      <c r="E38" s="8"/>
      <c r="F38" s="8"/>
      <c r="G38" s="8"/>
      <c r="H38" s="8"/>
      <c r="I38" s="8"/>
      <c r="J38" s="8"/>
      <c r="K38" s="8"/>
      <c r="L38" s="8"/>
      <c r="M38" s="8"/>
      <c r="N38" s="8"/>
      <c r="O38" s="8"/>
      <c r="P38" s="8"/>
      <c r="Q38" s="10"/>
    </row>
    <row r="39" spans="2:17" x14ac:dyDescent="0.3">
      <c r="B39" s="11"/>
      <c r="C39" s="8"/>
      <c r="D39" s="8"/>
      <c r="E39" s="8"/>
      <c r="F39" s="8"/>
      <c r="G39" s="8"/>
      <c r="H39" s="8"/>
      <c r="I39" s="8"/>
      <c r="J39" s="8"/>
      <c r="K39" s="8"/>
      <c r="L39" s="8"/>
      <c r="M39" s="8"/>
      <c r="N39" s="8"/>
      <c r="O39" s="8"/>
      <c r="P39" s="8"/>
      <c r="Q39" s="10"/>
    </row>
    <row r="40" spans="2:17" x14ac:dyDescent="0.3">
      <c r="B40" s="11" t="s">
        <v>70</v>
      </c>
      <c r="C40" s="8"/>
      <c r="D40" s="8"/>
      <c r="E40" s="8"/>
      <c r="F40" s="8"/>
      <c r="G40" s="8"/>
      <c r="H40" s="8"/>
      <c r="I40" s="8"/>
      <c r="J40" s="8"/>
      <c r="K40" s="8"/>
      <c r="L40" s="8"/>
      <c r="M40" s="8"/>
      <c r="N40" s="8"/>
      <c r="O40" s="8"/>
      <c r="P40" s="8"/>
      <c r="Q40" s="10"/>
    </row>
    <row r="41" spans="2:17" x14ac:dyDescent="0.3">
      <c r="B41" s="11" t="s">
        <v>80</v>
      </c>
      <c r="C41" s="8"/>
      <c r="D41" s="8"/>
      <c r="E41" s="8"/>
      <c r="F41" s="8"/>
      <c r="G41" s="8"/>
      <c r="H41" s="8"/>
      <c r="I41" s="8"/>
      <c r="J41" s="8"/>
      <c r="K41" s="8"/>
      <c r="L41" s="8"/>
      <c r="M41" s="8"/>
      <c r="N41" s="8"/>
      <c r="O41" s="8"/>
      <c r="P41" s="8"/>
      <c r="Q41" s="10"/>
    </row>
    <row r="42" spans="2:17" ht="15" thickBot="1" x14ac:dyDescent="0.35">
      <c r="B42" s="17" t="s">
        <v>71</v>
      </c>
      <c r="C42" s="12"/>
      <c r="D42" s="12"/>
      <c r="E42" s="12"/>
      <c r="F42" s="12"/>
      <c r="G42" s="12"/>
      <c r="H42" s="12"/>
      <c r="I42" s="12"/>
      <c r="J42" s="12"/>
      <c r="K42" s="12"/>
      <c r="L42" s="12"/>
      <c r="M42" s="12"/>
      <c r="N42" s="12"/>
      <c r="O42" s="12"/>
      <c r="P42" s="12"/>
      <c r="Q42" s="13"/>
    </row>
  </sheetData>
  <mergeCells count="2">
    <mergeCell ref="B4:Q4"/>
    <mergeCell ref="B5:Q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5D1E-1046-4E1F-B47E-ADA595950EE3}">
  <dimension ref="A1:Q6"/>
  <sheetViews>
    <sheetView showGridLines="0" zoomScale="85" zoomScaleNormal="85" workbookViewId="0">
      <selection activeCell="S19" sqref="S19"/>
    </sheetView>
  </sheetViews>
  <sheetFormatPr defaultRowHeight="14.4" x14ac:dyDescent="0.3"/>
  <cols>
    <col min="2" max="2" width="12.6640625" customWidth="1"/>
    <col min="17" max="17" width="6" customWidth="1"/>
  </cols>
  <sheetData>
    <row r="1" spans="1:17" ht="14.4" customHeight="1" x14ac:dyDescent="0.3">
      <c r="A1" s="25" t="s">
        <v>50</v>
      </c>
      <c r="B1" s="25"/>
      <c r="C1" s="25"/>
      <c r="D1" s="25"/>
      <c r="E1" s="25"/>
      <c r="F1" s="25"/>
      <c r="G1" s="25"/>
      <c r="H1" s="25"/>
      <c r="I1" s="25"/>
      <c r="J1" s="25"/>
      <c r="K1" s="25"/>
      <c r="L1" s="25"/>
      <c r="M1" s="25"/>
      <c r="N1" s="25"/>
      <c r="O1" s="25"/>
      <c r="P1" s="25"/>
      <c r="Q1" s="25"/>
    </row>
    <row r="2" spans="1:17" ht="14.4" customHeight="1" x14ac:dyDescent="0.3">
      <c r="A2" s="25"/>
      <c r="B2" s="25"/>
      <c r="C2" s="25"/>
      <c r="D2" s="25"/>
      <c r="E2" s="25"/>
      <c r="F2" s="25"/>
      <c r="G2" s="25"/>
      <c r="H2" s="25"/>
      <c r="I2" s="25"/>
      <c r="J2" s="25"/>
      <c r="K2" s="25"/>
      <c r="L2" s="25"/>
      <c r="M2" s="25"/>
      <c r="N2" s="25"/>
      <c r="O2" s="25"/>
      <c r="P2" s="25"/>
      <c r="Q2" s="25"/>
    </row>
    <row r="3" spans="1:17" ht="14.4" customHeight="1" x14ac:dyDescent="0.3">
      <c r="A3" s="25"/>
      <c r="B3" s="25"/>
      <c r="C3" s="25"/>
      <c r="D3" s="25"/>
      <c r="E3" s="25"/>
      <c r="F3" s="25"/>
      <c r="G3" s="25"/>
      <c r="H3" s="25"/>
      <c r="I3" s="25"/>
      <c r="J3" s="25"/>
      <c r="K3" s="25"/>
      <c r="L3" s="25"/>
      <c r="M3" s="25"/>
      <c r="N3" s="25"/>
      <c r="O3" s="25"/>
      <c r="P3" s="25"/>
      <c r="Q3" s="25"/>
    </row>
    <row r="4" spans="1:17" ht="14.4" customHeight="1" x14ac:dyDescent="0.3">
      <c r="A4" s="25"/>
      <c r="B4" s="25"/>
      <c r="C4" s="25"/>
      <c r="D4" s="25"/>
      <c r="E4" s="25"/>
      <c r="F4" s="25"/>
      <c r="G4" s="25"/>
      <c r="H4" s="25"/>
      <c r="I4" s="25"/>
      <c r="J4" s="25"/>
      <c r="K4" s="25"/>
      <c r="L4" s="25"/>
      <c r="M4" s="25"/>
      <c r="N4" s="25"/>
      <c r="O4" s="25"/>
      <c r="P4" s="25"/>
      <c r="Q4" s="25"/>
    </row>
    <row r="5" spans="1:17" ht="18.600000000000001" customHeight="1" x14ac:dyDescent="0.3">
      <c r="A5" s="26" t="s">
        <v>51</v>
      </c>
      <c r="B5" s="26"/>
      <c r="C5" s="26"/>
      <c r="D5" s="26"/>
      <c r="E5" s="26"/>
      <c r="F5" s="26"/>
      <c r="G5" s="26"/>
      <c r="H5" s="26"/>
      <c r="I5" s="26"/>
      <c r="J5" s="26"/>
      <c r="K5" s="26"/>
      <c r="L5" s="26"/>
      <c r="M5" s="26"/>
      <c r="N5" s="26"/>
      <c r="O5" s="26"/>
      <c r="P5" s="26"/>
      <c r="Q5" s="26"/>
    </row>
    <row r="6" spans="1:17" ht="14.4" customHeight="1" x14ac:dyDescent="0.3">
      <c r="A6" s="7"/>
      <c r="B6" s="7"/>
      <c r="C6" s="7"/>
      <c r="D6" s="7"/>
      <c r="E6" s="7"/>
      <c r="F6" s="7"/>
      <c r="G6" s="7"/>
      <c r="H6" s="7"/>
      <c r="I6" s="7"/>
      <c r="J6" s="7"/>
      <c r="K6" s="7"/>
      <c r="L6" s="7"/>
      <c r="M6" s="7"/>
      <c r="N6" s="7"/>
      <c r="O6" s="7"/>
      <c r="P6" s="7"/>
      <c r="Q6" s="7"/>
    </row>
  </sheetData>
  <mergeCells count="2">
    <mergeCell ref="A1:Q4"/>
    <mergeCell ref="A5: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CA9D8-A68C-4EEF-80C3-700BDBF25FF8}">
  <dimension ref="A3:D42"/>
  <sheetViews>
    <sheetView tabSelected="1" zoomScale="85" zoomScaleNormal="85" workbookViewId="0">
      <selection activeCell="P16" sqref="P16"/>
    </sheetView>
  </sheetViews>
  <sheetFormatPr defaultRowHeight="14.4" x14ac:dyDescent="0.3"/>
  <cols>
    <col min="1" max="1" width="23.109375" bestFit="1" customWidth="1"/>
    <col min="2" max="2" width="16.44140625" bestFit="1" customWidth="1"/>
    <col min="3" max="3" width="10.33203125" customWidth="1"/>
    <col min="4" max="4" width="11.44140625" bestFit="1" customWidth="1"/>
    <col min="16" max="16" width="13.44140625" bestFit="1" customWidth="1"/>
    <col min="17" max="17" width="23.109375" bestFit="1" customWidth="1"/>
    <col min="18" max="18" width="3.77734375" bestFit="1" customWidth="1"/>
    <col min="19" max="20" width="11.44140625" bestFit="1" customWidth="1"/>
  </cols>
  <sheetData>
    <row r="3" spans="1:4" x14ac:dyDescent="0.3">
      <c r="A3" s="4" t="s">
        <v>43</v>
      </c>
      <c r="B3" s="4" t="s">
        <v>44</v>
      </c>
    </row>
    <row r="4" spans="1:4" x14ac:dyDescent="0.3">
      <c r="A4" s="4" t="s">
        <v>41</v>
      </c>
      <c r="B4" t="s">
        <v>18</v>
      </c>
      <c r="C4" t="s">
        <v>15</v>
      </c>
      <c r="D4" t="s">
        <v>42</v>
      </c>
    </row>
    <row r="5" spans="1:4" x14ac:dyDescent="0.3">
      <c r="A5" s="5" t="s">
        <v>38</v>
      </c>
      <c r="B5" s="6">
        <v>53440</v>
      </c>
      <c r="C5" s="6">
        <v>55774.058577405856</v>
      </c>
      <c r="D5" s="6">
        <v>54580.777096114522</v>
      </c>
    </row>
    <row r="6" spans="1:4" x14ac:dyDescent="0.3">
      <c r="A6" s="5" t="s">
        <v>39</v>
      </c>
      <c r="B6" s="6">
        <v>56208.178438661707</v>
      </c>
      <c r="C6" s="6">
        <v>60123.966942148763</v>
      </c>
      <c r="D6" s="6">
        <v>58062.62230919765</v>
      </c>
    </row>
    <row r="7" spans="1:4" x14ac:dyDescent="0.3">
      <c r="A7" s="5" t="s">
        <v>42</v>
      </c>
      <c r="B7" s="6">
        <v>54874.759152215796</v>
      </c>
      <c r="C7" s="6">
        <v>57962.577962577961</v>
      </c>
      <c r="D7" s="6">
        <v>56360</v>
      </c>
    </row>
    <row r="21" spans="1:4" x14ac:dyDescent="0.3">
      <c r="A21" s="4" t="s">
        <v>45</v>
      </c>
      <c r="B21" s="4" t="s">
        <v>44</v>
      </c>
    </row>
    <row r="22" spans="1:4" x14ac:dyDescent="0.3">
      <c r="A22" s="4" t="s">
        <v>41</v>
      </c>
      <c r="B22" t="s">
        <v>18</v>
      </c>
      <c r="C22" t="s">
        <v>15</v>
      </c>
      <c r="D22" t="s">
        <v>42</v>
      </c>
    </row>
    <row r="23" spans="1:4" x14ac:dyDescent="0.3">
      <c r="A23" s="5" t="s">
        <v>16</v>
      </c>
      <c r="B23" s="6">
        <v>166</v>
      </c>
      <c r="C23" s="6">
        <v>200</v>
      </c>
      <c r="D23" s="6">
        <v>366</v>
      </c>
    </row>
    <row r="24" spans="1:4" x14ac:dyDescent="0.3">
      <c r="A24" s="5" t="s">
        <v>26</v>
      </c>
      <c r="B24" s="6">
        <v>92</v>
      </c>
      <c r="C24" s="6">
        <v>77</v>
      </c>
      <c r="D24" s="6">
        <v>169</v>
      </c>
    </row>
    <row r="25" spans="1:4" x14ac:dyDescent="0.3">
      <c r="A25" s="5" t="s">
        <v>22</v>
      </c>
      <c r="B25" s="6">
        <v>67</v>
      </c>
      <c r="C25" s="6">
        <v>95</v>
      </c>
      <c r="D25" s="6">
        <v>162</v>
      </c>
    </row>
    <row r="26" spans="1:4" x14ac:dyDescent="0.3">
      <c r="A26" s="5" t="s">
        <v>23</v>
      </c>
      <c r="B26" s="6">
        <v>116</v>
      </c>
      <c r="C26" s="6">
        <v>76</v>
      </c>
      <c r="D26" s="6">
        <v>192</v>
      </c>
    </row>
    <row r="27" spans="1:4" x14ac:dyDescent="0.3">
      <c r="A27" s="5" t="s">
        <v>46</v>
      </c>
      <c r="B27" s="6">
        <v>78</v>
      </c>
      <c r="C27" s="6">
        <v>33</v>
      </c>
      <c r="D27" s="6">
        <v>111</v>
      </c>
    </row>
    <row r="28" spans="1:4" x14ac:dyDescent="0.3">
      <c r="A28" s="5" t="s">
        <v>42</v>
      </c>
      <c r="B28" s="6">
        <v>519</v>
      </c>
      <c r="C28" s="6">
        <v>481</v>
      </c>
      <c r="D28" s="6">
        <v>1000</v>
      </c>
    </row>
    <row r="37" spans="1:4" x14ac:dyDescent="0.3">
      <c r="A37" s="4" t="s">
        <v>45</v>
      </c>
      <c r="B37" s="4" t="s">
        <v>44</v>
      </c>
    </row>
    <row r="38" spans="1:4" x14ac:dyDescent="0.3">
      <c r="A38" s="4" t="s">
        <v>41</v>
      </c>
      <c r="B38" t="s">
        <v>18</v>
      </c>
      <c r="C38" t="s">
        <v>15</v>
      </c>
      <c r="D38" t="s">
        <v>42</v>
      </c>
    </row>
    <row r="39" spans="1:4" x14ac:dyDescent="0.3">
      <c r="A39" s="5" t="s">
        <v>49</v>
      </c>
      <c r="B39" s="6">
        <v>71</v>
      </c>
      <c r="C39" s="6">
        <v>39</v>
      </c>
      <c r="D39" s="6">
        <v>110</v>
      </c>
    </row>
    <row r="40" spans="1:4" x14ac:dyDescent="0.3">
      <c r="A40" s="5" t="s">
        <v>47</v>
      </c>
      <c r="B40" s="6">
        <v>318</v>
      </c>
      <c r="C40" s="6">
        <v>383</v>
      </c>
      <c r="D40" s="6">
        <v>701</v>
      </c>
    </row>
    <row r="41" spans="1:4" x14ac:dyDescent="0.3">
      <c r="A41" s="5" t="s">
        <v>48</v>
      </c>
      <c r="B41" s="6">
        <v>130</v>
      </c>
      <c r="C41" s="6">
        <v>59</v>
      </c>
      <c r="D41" s="6">
        <v>189</v>
      </c>
    </row>
    <row r="42" spans="1:4" x14ac:dyDescent="0.3">
      <c r="A42" s="5" t="s">
        <v>42</v>
      </c>
      <c r="B42" s="6">
        <v>519</v>
      </c>
      <c r="C42" s="6">
        <v>481</v>
      </c>
      <c r="D42"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9B796-BABB-49E0-96E1-E8AAE8BC2292}">
  <dimension ref="A1:N1001"/>
  <sheetViews>
    <sheetView workbookViewId="0">
      <selection activeCell="O989" sqref="O989"/>
    </sheetView>
  </sheetViews>
  <sheetFormatPr defaultColWidth="11.88671875" defaultRowHeight="14.4" x14ac:dyDescent="0.3"/>
  <cols>
    <col min="2" max="2" width="14.5546875" bestFit="1" customWidth="1"/>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 t="shared" ref="M2:M65" si="0">_xlfn.IFS(L2&lt;31, "young",  L2&lt;=54, "middle", L2&gt;54, "old")</f>
        <v>middle</v>
      </c>
      <c r="N2" t="s">
        <v>18</v>
      </c>
    </row>
    <row r="3" spans="1:14" x14ac:dyDescent="0.3">
      <c r="A3">
        <v>24107</v>
      </c>
      <c r="B3" t="s">
        <v>36</v>
      </c>
      <c r="C3" t="s">
        <v>39</v>
      </c>
      <c r="D3" s="3">
        <v>30000</v>
      </c>
      <c r="E3">
        <v>3</v>
      </c>
      <c r="F3" t="s">
        <v>19</v>
      </c>
      <c r="G3" t="s">
        <v>20</v>
      </c>
      <c r="H3" t="s">
        <v>15</v>
      </c>
      <c r="I3">
        <v>1</v>
      </c>
      <c r="J3" t="s">
        <v>16</v>
      </c>
      <c r="K3" t="s">
        <v>17</v>
      </c>
      <c r="L3">
        <v>43</v>
      </c>
      <c r="M3" t="str">
        <f t="shared" si="0"/>
        <v>middle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v>
      </c>
      <c r="N5" t="s">
        <v>15</v>
      </c>
    </row>
    <row r="6" spans="1:14" x14ac:dyDescent="0.3">
      <c r="A6">
        <v>25597</v>
      </c>
      <c r="B6" t="s">
        <v>37</v>
      </c>
      <c r="C6" t="s">
        <v>39</v>
      </c>
      <c r="D6" s="3">
        <v>30000</v>
      </c>
      <c r="E6">
        <v>0</v>
      </c>
      <c r="F6" t="s">
        <v>13</v>
      </c>
      <c r="G6" t="s">
        <v>20</v>
      </c>
      <c r="H6" t="s">
        <v>18</v>
      </c>
      <c r="I6">
        <v>0</v>
      </c>
      <c r="J6" t="s">
        <v>16</v>
      </c>
      <c r="K6" t="s">
        <v>17</v>
      </c>
      <c r="L6">
        <v>36</v>
      </c>
      <c r="M6" t="str">
        <f t="shared" si="0"/>
        <v>middle</v>
      </c>
      <c r="N6" t="s">
        <v>15</v>
      </c>
    </row>
    <row r="7" spans="1:14" x14ac:dyDescent="0.3">
      <c r="A7">
        <v>13507</v>
      </c>
      <c r="B7" t="s">
        <v>36</v>
      </c>
      <c r="C7" t="s">
        <v>38</v>
      </c>
      <c r="D7" s="3">
        <v>10000</v>
      </c>
      <c r="E7">
        <v>2</v>
      </c>
      <c r="F7" t="s">
        <v>19</v>
      </c>
      <c r="G7" t="s">
        <v>25</v>
      </c>
      <c r="H7" t="s">
        <v>15</v>
      </c>
      <c r="I7">
        <v>0</v>
      </c>
      <c r="J7" t="s">
        <v>26</v>
      </c>
      <c r="K7" t="s">
        <v>17</v>
      </c>
      <c r="L7">
        <v>50</v>
      </c>
      <c r="M7" t="str">
        <f t="shared" si="0"/>
        <v>middle</v>
      </c>
      <c r="N7" t="s">
        <v>18</v>
      </c>
    </row>
    <row r="8" spans="1:14" x14ac:dyDescent="0.3">
      <c r="A8">
        <v>27974</v>
      </c>
      <c r="B8" t="s">
        <v>37</v>
      </c>
      <c r="C8" t="s">
        <v>39</v>
      </c>
      <c r="D8" s="3">
        <v>160000</v>
      </c>
      <c r="E8">
        <v>2</v>
      </c>
      <c r="F8" t="s">
        <v>27</v>
      </c>
      <c r="G8" t="s">
        <v>28</v>
      </c>
      <c r="H8" t="s">
        <v>15</v>
      </c>
      <c r="I8">
        <v>4</v>
      </c>
      <c r="J8" t="s">
        <v>16</v>
      </c>
      <c r="K8" t="s">
        <v>24</v>
      </c>
      <c r="L8">
        <v>33</v>
      </c>
      <c r="M8" t="str">
        <f t="shared" si="0"/>
        <v>middle</v>
      </c>
      <c r="N8" t="s">
        <v>15</v>
      </c>
    </row>
    <row r="9" spans="1:14" x14ac:dyDescent="0.3">
      <c r="A9">
        <v>19364</v>
      </c>
      <c r="B9" t="s">
        <v>36</v>
      </c>
      <c r="C9" t="s">
        <v>39</v>
      </c>
      <c r="D9" s="3">
        <v>40000</v>
      </c>
      <c r="E9">
        <v>1</v>
      </c>
      <c r="F9" t="s">
        <v>13</v>
      </c>
      <c r="G9" t="s">
        <v>14</v>
      </c>
      <c r="H9" t="s">
        <v>15</v>
      </c>
      <c r="I9">
        <v>0</v>
      </c>
      <c r="J9" t="s">
        <v>16</v>
      </c>
      <c r="K9" t="s">
        <v>17</v>
      </c>
      <c r="L9">
        <v>43</v>
      </c>
      <c r="M9" t="str">
        <f t="shared" si="0"/>
        <v>middle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young</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young</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young</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young</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young</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v>
      </c>
      <c r="N65" t="s">
        <v>18</v>
      </c>
    </row>
    <row r="66" spans="1:14" x14ac:dyDescent="0.3">
      <c r="A66">
        <v>14927</v>
      </c>
      <c r="B66" t="s">
        <v>36</v>
      </c>
      <c r="C66" t="s">
        <v>38</v>
      </c>
      <c r="D66" s="3">
        <v>30000</v>
      </c>
      <c r="E66">
        <v>1</v>
      </c>
      <c r="F66" t="s">
        <v>13</v>
      </c>
      <c r="G66" t="s">
        <v>20</v>
      </c>
      <c r="H66" t="s">
        <v>15</v>
      </c>
      <c r="I66">
        <v>0</v>
      </c>
      <c r="J66" t="s">
        <v>16</v>
      </c>
      <c r="K66" t="s">
        <v>17</v>
      </c>
      <c r="L66">
        <v>37</v>
      </c>
      <c r="M66" t="str">
        <f t="shared" ref="M66:M129" si="1">_xlfn.IFS(L66&lt;31, "young",  L66&lt;=54, "middle", L66&gt;54, "old")</f>
        <v>middle</v>
      </c>
      <c r="N66" t="s">
        <v>15</v>
      </c>
    </row>
    <row r="67" spans="1:14" x14ac:dyDescent="0.3">
      <c r="A67">
        <v>29337</v>
      </c>
      <c r="B67" t="s">
        <v>37</v>
      </c>
      <c r="C67" t="s">
        <v>39</v>
      </c>
      <c r="D67" s="3">
        <v>30000</v>
      </c>
      <c r="E67">
        <v>2</v>
      </c>
      <c r="F67" t="s">
        <v>19</v>
      </c>
      <c r="G67" t="s">
        <v>20</v>
      </c>
      <c r="H67" t="s">
        <v>15</v>
      </c>
      <c r="I67">
        <v>2</v>
      </c>
      <c r="J67" t="s">
        <v>23</v>
      </c>
      <c r="K67" t="s">
        <v>24</v>
      </c>
      <c r="L67">
        <v>68</v>
      </c>
      <c r="M67" t="str">
        <f t="shared" si="1"/>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young</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young</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young</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young</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young</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young</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young</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young</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young</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young</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young</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young</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ref="M130:M193" si="2">_xlfn.IFS(L130&lt;31, "young",  L130&lt;=54, "middle", L130&gt;54, "old")</f>
        <v>middle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si="2"/>
        <v>middle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young</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young</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young</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young</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ref="M194:M257" si="3">_xlfn.IFS(L194&lt;31, "young",  L194&lt;=54, "middle", L194&gt;54, "old")</f>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si="3"/>
        <v>middle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young</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young</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young</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young</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young</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young</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young</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young</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young</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ref="M258:M321" si="4">_xlfn.IFS(L258&lt;31, "young",  L258&lt;=54, "middle", L258&gt;54, "old")</f>
        <v>middle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si="4"/>
        <v>middle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young</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young</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young</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young</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ref="M322:M385" si="5">_xlfn.IFS(L322&lt;31, "young",  L322&lt;=54, "middle", L322&gt;54, "old")</f>
        <v>middle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si="5"/>
        <v>middle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young</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young</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young</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young</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young</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young</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young</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ref="M386:M449" si="6">_xlfn.IFS(L386&lt;31, "young",  L386&lt;=54, "middle", L386&gt;54, "old")</f>
        <v>young</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si="6"/>
        <v>middle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young</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young</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young</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young</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ref="M450:M513" si="7">_xlfn.IFS(L450&lt;31, "young",  L450&lt;=54, "middle", L450&gt;54, "old")</f>
        <v>middle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si="7"/>
        <v>middle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young</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young</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young</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ref="M514:M577" si="8">_xlfn.IFS(L514&lt;31, "young",  L514&lt;=54, "middle", L514&gt;54, "old")</f>
        <v>middle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si="8"/>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young</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young</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young</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young</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young</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young</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ref="M578:M641" si="9">_xlfn.IFS(L578&lt;31, "young",  L578&lt;=54, "middle", L578&gt;54, "old")</f>
        <v>middle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si="9"/>
        <v>middle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young</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young</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young</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young</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young</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young</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young</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ref="M642:M705" si="10">_xlfn.IFS(L642&lt;31, "young",  L642&lt;=54, "middle", L642&gt;54, "old")</f>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si="10"/>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young</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young</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young</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young</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young</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young</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ref="M706:M769" si="11">_xlfn.IFS(L706&lt;31, "young",  L706&lt;=54, "middle", L706&gt;54, "old")</f>
        <v>middle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si="11"/>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young</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young</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young</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young</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young</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young</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ref="M770:M833" si="12">_xlfn.IFS(L770&lt;31, "young",  L770&lt;=54, "middle", L770&gt;54, "old")</f>
        <v>middle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si="12"/>
        <v>middle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young</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young</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young</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young</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young</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young</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young</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young</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young</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ref="M834:M897" si="13">_xlfn.IFS(L834&lt;31, "young",  L834&lt;=54, "middle", L834&gt;54, "old")</f>
        <v>middle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si="13"/>
        <v>middle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young</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young</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young</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ref="M898:M961" si="14">_xlfn.IFS(L898&lt;31, "young",  L898&lt;=54, "middle", L898&gt;54, "old")</f>
        <v>middle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si="14"/>
        <v>young</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young</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young</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ref="M962:M1001" si="15">_xlfn.IFS(L962&lt;31, "young",  L962&lt;=54, "middle", L962&gt;54, "old")</f>
        <v>middle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young</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young</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v>
      </c>
      <c r="N1001" t="s">
        <v>15</v>
      </c>
    </row>
  </sheetData>
  <autoFilter ref="A1:N1001" xr:uid="{8929B796-BABB-49E0-96E1-E8AAE8BC2292}"/>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2" workbookViewId="0">
      <selection activeCell="M60" sqref="M6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Insights</vt:lpstr>
      <vt:lpstr>Dashboard</vt:lpstr>
      <vt:lpstr>Pivot Tables</vt:lpstr>
      <vt:lpstr>Cleaned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Thoriq</cp:lastModifiedBy>
  <dcterms:created xsi:type="dcterms:W3CDTF">2022-03-18T02:50:57Z</dcterms:created>
  <dcterms:modified xsi:type="dcterms:W3CDTF">2026-04-21T03:40:13Z</dcterms:modified>
</cp:coreProperties>
</file>